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PM PERFORMANCE" sheetId="2" state="visible" r:id="rId4"/>
    <sheet name="RAW MONTHLY DATA" sheetId="3" state="visible" r:id="rId5"/>
    <sheet name="COMMISSION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<sst xmlns="http://schemas.openxmlformats.org/spreadsheetml/2006/main" count="176" uniqueCount="47">
  <si>
    <t xml:space="preserve">JOHNCROSS LOTTO BUSINESS — 2024 ANNUAL PERFORMANCE DASHBOARD</t>
  </si>
  <si>
    <t xml:space="preserve">Agent ID: 357  |  Partner: R&amp;S Lotto Company Ng. Ltd</t>
  </si>
  <si>
    <t xml:space="preserve">TOTAL ANNUAL SALES</t>
  </si>
  <si>
    <t xml:space="preserve">TOTAL CASH DEPOSITED</t>
  </si>
  <si>
    <t xml:space="preserve">MONTHS ON RECORD</t>
  </si>
  <si>
    <t xml:space="preserve">AVG MONTHLY SALES</t>
  </si>
  <si>
    <t xml:space="preserve">DEPOSIT RATE</t>
  </si>
  <si>
    <t xml:space="preserve">MONTHLY SALES SUMMARY</t>
  </si>
  <si>
    <t xml:space="preserve">MONTH</t>
  </si>
  <si>
    <t xml:space="preserve">TOTAL SALES (₦)</t>
  </si>
  <si>
    <t xml:space="preserve">CASH DEPOSIT (₦)</t>
  </si>
  <si>
    <t xml:space="preserve">SHORT PAYMENT (₦)</t>
  </si>
  <si>
    <t xml:space="preserve">ACTIVE TPMS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</si>
  <si>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</si>
  <si>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</si>
  <si>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</si>
  <si>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</si>
  <si>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</si>
  <si>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</si>
  <si>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</si>
  <si>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</si>
  <si>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</si>
  <si>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</si>
  <si>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</si>
  <si>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</si>
  <si>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 / AVERAGE</t>
  </si>
  <si>
    <t xml:space="preserve">TPM AGENT PERFORMANCE REPORT — 2024</t>
  </si>
  <si>
    <t xml:space="preserve">TPM #</t>
  </si>
  <si>
    <t xml:space="preserve">METRIC</t>
  </si>
  <si>
    <t xml:space="preserve">TOTAL</t>
  </si>
  <si>
    <t xml:space="preserve">Sales ₦</t>
  </si>
  <si>
    <t xml:space="preserve">Deposit ₦</t>
  </si>
  <si>
    <t xml:space="preserve">RAW MONTHLY DATA — 2024</t>
  </si>
  <si>
    <t xml:space="preserve">TPM</t>
  </si>
  <si>
    <t xml:space="preserve">DEP. RATE</t>
  </si>
  <si>
    <t xml:space="preserve">CONTRIBUTION %</t>
  </si>
  <si>
    <t xml:space="preserve">STATUS</t>
  </si>
  <si>
    <t xml:space="preserve">Active</t>
  </si>
  <si>
    <t xml:space="preserve">Inactive</t>
  </si>
  <si>
    <t xml:space="preserve">COMMISSION &amp; INCENTIVE ANALYSIS — 2024</t>
  </si>
  <si>
    <t xml:space="preserve">TOTAL SALES</t>
  </si>
  <si>
    <t xml:space="preserve">AGENT COMM 8.5%</t>
  </si>
  <si>
    <t xml:space="preserve">CLARKS COMM 10%</t>
  </si>
  <si>
    <t xml:space="preserve">SHORT PAYMENT</t>
  </si>
  <si>
    <t xml:space="preserve">NET INCENTIVE</t>
  </si>
  <si>
    <t xml:space="preserve">DEPOSIT SHORTFALL</t>
  </si>
  <si>
    <t xml:space="preserve">ANNUAL TOTALS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</si>
</sst>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0.0%"/>
    <numFmt numFmtId="168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1E6B3C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392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2744"/>
        <bgColor rgb="FF1A1A1A"/>
      </patternFill>
    </fill>
    <fill>
      <patternFill patternType="solid">
        <fgColor rgb="FF2E4A8C"/>
        <bgColor rgb="FF555555"/>
      </patternFill>
    </fill>
    <fill>
      <patternFill patternType="solid">
        <fgColor rgb="FF1E6B3C"/>
        <bgColor rgb="FF008080"/>
      </patternFill>
    </fill>
    <fill>
      <patternFill patternType="solid">
        <fgColor rgb="FF3A7CC1"/>
        <bgColor rgb="FF0066CC"/>
      </patternFill>
    </fill>
    <fill>
      <patternFill patternType="solid">
        <fgColor rgb="FF7B5EA7"/>
        <bgColor rgb="FF878787"/>
      </patternFill>
    </fill>
    <fill>
      <patternFill patternType="solid">
        <fgColor rgb="FFC67C2A"/>
        <bgColor rgb="FFFF9900"/>
      </patternFill>
    </fill>
    <fill>
      <patternFill patternType="solid">
        <fgColor rgb="FFF2F4F8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9DDE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CCCCCC"/>
      <rgbColor rgb="FF878787"/>
      <rgbColor rgb="FF9999FF"/>
      <rgbColor rgb="FF555555"/>
      <rgbColor rgb="FFF9F9F9"/>
      <rgbColor rgb="FFF2F4F8"/>
      <rgbColor rgb="FF660066"/>
      <rgbColor rgb="FFFF8080"/>
      <rgbColor rgb="FF0066CC"/>
      <rgbColor rgb="FFD9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A7CC1"/>
      <rgbColor rgb="FF33CCCC"/>
      <rgbColor rgb="FF99CC00"/>
      <rgbColor rgb="FFFFCC00"/>
      <rgbColor rgb="FFFF9900"/>
      <rgbColor rgb="FFC67C2A"/>
      <rgbColor rgb="FF7B5EA7"/>
      <rgbColor rgb="FF969696"/>
      <rgbColor rgb="FF003366"/>
      <rgbColor rgb="FF27AE60"/>
      <rgbColor rgb="FF003300"/>
      <rgbColor rgb="FF1A1A1A"/>
      <rgbColor rgb="FFC0392B"/>
      <rgbColor rgb="FF993366"/>
      <rgbColor rgb="FF2E4A8C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2024 Monthly Sales vs Deposits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"Total Sales"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2e4a8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DASHBOARD!$A$13:$A$24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TOTAL / AVERAGE</c:v>
                </c:pt>
              </c:strCache>
            </c:strRef>
          </c:cat>
          <c:val>
            <c:numRef>
              <c:f>DASHBOARD!$B$13:$B$24</c:f>
              <c:numCache>
                <c:formatCode>#,##0</c:formatCode>
                <c:ptCount val="12"/>
                <c:pt idx="0">
                  <c:v>2221231</c:v>
                </c:pt>
                <c:pt idx="1">
                  <c:v>3163200</c:v>
                </c:pt>
                <c:pt idx="2">
                  <c:v>3920677</c:v>
                </c:pt>
                <c:pt idx="3">
                  <c:v>2837020</c:v>
                </c:pt>
                <c:pt idx="4">
                  <c:v>2763987</c:v>
                </c:pt>
                <c:pt idx="5">
                  <c:v>2520069</c:v>
                </c:pt>
                <c:pt idx="6">
                  <c:v>1279428</c:v>
                </c:pt>
                <c:pt idx="7">
                  <c:v>1785875</c:v>
                </c:pt>
                <c:pt idx="8">
                  <c:v>1804499</c:v>
                </c:pt>
                <c:pt idx="9">
                  <c:v>1908133</c:v>
                </c:pt>
                <c:pt idx="10">
                  <c:v>1308244</c:v>
                </c:pt>
                <c:pt idx="11">
                  <c:v>28256645</c:v>
                </c:pt>
              </c:numCache>
            </c:numRef>
          </c:val>
        </c:ser>
        <c:ser>
          <c:idx val="1"/>
          <c:order val="1"/>
          <c:tx>
            <c:strRef>
              <c:f>"Cash Deposit"</c:f>
              <c:strCache>
                <c:ptCount val="1"/>
                <c:pt idx="0">
                  <c:v>Cash Deposit</c:v>
                </c:pt>
              </c:strCache>
            </c:strRef>
          </c:tx>
          <c:spPr>
            <a:solidFill>
              <a:srgbClr val="27ae6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DASHBOARD!$A$13:$A$24</c:f>
              <c:strCache>
                <c:ptCount val="12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  <c:pt idx="11">
                  <c:v>TOTAL / AVERAGE</c:v>
                </c:pt>
              </c:strCache>
            </c:strRef>
          </c:cat>
          <c:val>
            <c:numRef>
              <c:f>DASHBOARD!$C$13:$C$24</c:f>
              <c:numCache>
                <c:formatCode>#,##0</c:formatCode>
                <c:ptCount val="12"/>
                <c:pt idx="0">
                  <c:v>1156555</c:v>
                </c:pt>
                <c:pt idx="1">
                  <c:v>1867370</c:v>
                </c:pt>
                <c:pt idx="2">
                  <c:v>2059930</c:v>
                </c:pt>
                <c:pt idx="3">
                  <c:v>838740</c:v>
                </c:pt>
                <c:pt idx="4">
                  <c:v>1699460</c:v>
                </c:pt>
                <c:pt idx="5">
                  <c:v>1238106</c:v>
                </c:pt>
                <c:pt idx="6">
                  <c:v>894650</c:v>
                </c:pt>
                <c:pt idx="7">
                  <c:v>1023800</c:v>
                </c:pt>
                <c:pt idx="8">
                  <c:v>1194129.3</c:v>
                </c:pt>
                <c:pt idx="9">
                  <c:v>914885</c:v>
                </c:pt>
                <c:pt idx="10">
                  <c:v>863914</c:v>
                </c:pt>
                <c:pt idx="11">
                  <c:v>15193504.3</c:v>
                </c:pt>
              </c:numCache>
            </c:numRef>
          </c:val>
        </c:ser>
        <c:gapWidth val="150"/>
        <c:overlap val="0"/>
        <c:axId val="94201338"/>
        <c:axId val="95491563"/>
      </c:barChart>
      <c:catAx>
        <c:axId val="94201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491563"/>
        <c:crosses val="autoZero"/>
        <c:auto val="1"/>
        <c:lblAlgn val="ctr"/>
        <c:lblOffset val="100"/>
        <c:noMultiLvlLbl val="0"/>
      </c:catAx>
      <c:valAx>
        <c:axId val="954915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(₦)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01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0</xdr:rowOff>
    </xdr:from>
    <xdr:to>
      <xdr:col>15</xdr:col>
      <xdr:colOff>25200</xdr:colOff>
      <xdr:row>30</xdr:row>
      <xdr:rowOff>186120</xdr:rowOff>
    </xdr:to>
    <xdr:graphicFrame>
      <xdr:nvGraphicFramePr>
        <xdr:cNvPr id="0" name="Chart 1"/>
        <xdr:cNvGraphicFramePr/>
      </xdr:nvGraphicFramePr>
      <xdr:xfrm>
        <a:off x="6414120" y="25052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"/>
    <col collapsed="false" customWidth="true" hidden="false" outlineLevel="0" max="18" min="3" style="0" width="14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 t="s">
        <v>1</v>
      </c>
      <c r="O2" s="2"/>
      <c r="P2" s="2"/>
      <c r="Q2" s="2"/>
      <c r="R2" s="2"/>
    </row>
    <row r="3" customFormat="false" ht="7.5" hidden="false" customHeight="true" outlineLevel="0" collapsed="false"/>
    <row r="4" customFormat="false" ht="7.5" hidden="false" customHeight="true" outlineLevel="0" collapsed="false"/>
    <row r="5" customFormat="false" ht="36" hidden="false" customHeight="true" outlineLevel="0" collapsed="false">
      <c r="A5" s="3" t="s">
        <v>2</v>
      </c>
      <c r="B5" s="3"/>
      <c r="C5" s="3"/>
      <c r="D5" s="4" t="s">
        <v>3</v>
      </c>
      <c r="E5" s="4"/>
      <c r="F5" s="4"/>
      <c r="G5" s="5" t="s">
        <v>4</v>
      </c>
      <c r="H5" s="5"/>
      <c r="I5" s="5"/>
      <c r="J5" s="6" t="s">
        <v>5</v>
      </c>
      <c r="K5" s="6"/>
      <c r="L5" s="6"/>
      <c r="N5" s="7" t="s">
        <v>6</v>
      </c>
      <c r="O5" s="7"/>
      <c r="P5" s="7"/>
    </row>
    <row r="6" customFormat="false" ht="21.75" hidden="false" customHeight="true" outlineLevel="0" collapsed="false">
      <c r="A6" s="8" t="n">
        <v>28256645</v>
      </c>
      <c r="B6" s="8"/>
      <c r="C6" s="8"/>
      <c r="D6" s="9" t="n">
        <v>15193504.3</v>
      </c>
      <c r="E6" s="9"/>
      <c r="F6" s="9"/>
      <c r="G6" s="10" t="n">
        <v>12</v>
      </c>
      <c r="H6" s="10"/>
      <c r="I6" s="10"/>
      <c r="J6" s="11" t="n">
        <v>2354720.41666667</v>
      </c>
      <c r="K6" s="11"/>
      <c r="L6" s="11"/>
      <c r="N6" s="12" t="n">
        <v>0.537696683381909</v>
      </c>
      <c r="O6" s="12"/>
      <c r="P6" s="12"/>
    </row>
    <row r="7" customFormat="false" ht="7.5" hidden="false" customHeight="true" outlineLevel="0" collapsed="false"/>
    <row r="9" customFormat="false" ht="7.5" hidden="false" customHeight="true" outlineLevel="0" collapsed="false"/>
    <row r="10" customFormat="false" ht="27.75" hidden="false" customHeight="true" outlineLevel="0" collapsed="false">
      <c r="A10" s="13" t="s">
        <v>7</v>
      </c>
      <c r="B10" s="13"/>
      <c r="C10" s="13"/>
      <c r="D10" s="13"/>
      <c r="E10" s="13"/>
      <c r="F10" s="13"/>
      <c r="G10" s="13"/>
      <c r="H10" s="13"/>
      <c r="I10" s="13"/>
      <c r="J10" s="13"/>
    </row>
    <row r="11" customFormat="false" ht="19.5" hidden="false" customHeight="true" outlineLevel="0" collapsed="false">
      <c r="A11" s="14" t="s">
        <v>8</v>
      </c>
      <c r="B11" s="14" t="s">
        <v>9</v>
      </c>
      <c r="C11" s="14" t="s">
        <v>10</v>
      </c>
      <c r="D11" s="14" t="s">
        <v>6</v>
      </c>
      <c r="E11" s="14" t="s">
        <v>11</v>
      </c>
      <c r="F11" s="14" t="s">
        <v>12</v>
      </c>
    </row>
    <row r="12" customFormat="false" ht="18" hidden="false" customHeight="true" outlineLevel="0" collapsed="false">
      <c r="A12" s="15" t="s">
        <v>13</v>
      </c>
      <c r="B12" s="16" t="n">
        <v>2744282</v>
      </c>
      <c r="C12" s="16" t="n">
        <v>1441965</v>
      </c>
      <c r="D12" s="17" t="n">
        <v>0.525443449324814</v>
      </c>
      <c r="E12" s="16" t="n">
        <v>152557</v>
      </c>
      <c r="F12" s="18" t="n">
        <v>4</v>
      </c>
    </row>
    <row r="13" customFormat="false" ht="18" hidden="false" customHeight="true" outlineLevel="0" collapsed="false">
      <c r="A13" s="19" t="s">
        <v>14</v>
      </c>
      <c r="B13" s="20" t="n">
        <v>2221231</v>
      </c>
      <c r="C13" s="20" t="n">
        <v>1156555</v>
      </c>
      <c r="D13" s="21" t="n">
        <v>0.520682000206192</v>
      </c>
      <c r="E13" s="20" t="n">
        <v>168536</v>
      </c>
      <c r="F13" s="22" t="n">
        <v>4</v>
      </c>
    </row>
    <row r="14" customFormat="false" ht="18" hidden="false" customHeight="true" outlineLevel="0" collapsed="false">
      <c r="A14" s="15" t="s">
        <v>15</v>
      </c>
      <c r="B14" s="16" t="n">
        <v>3163200</v>
      </c>
      <c r="C14" s="16" t="n">
        <v>1867370</v>
      </c>
      <c r="D14" s="17" t="n">
        <v>0.59034205867476</v>
      </c>
      <c r="E14" s="16" t="n">
        <v>131570</v>
      </c>
      <c r="F14" s="18" t="n">
        <v>4</v>
      </c>
    </row>
    <row r="15" customFormat="false" ht="18" hidden="false" customHeight="true" outlineLevel="0" collapsed="false">
      <c r="A15" s="19" t="s">
        <v>16</v>
      </c>
      <c r="B15" s="20" t="n">
        <v>3920677</v>
      </c>
      <c r="C15" s="20" t="n">
        <v>2059930</v>
      </c>
      <c r="D15" s="21" t="n">
        <v>0.525401607936589</v>
      </c>
      <c r="E15" s="20" t="n">
        <v>356367</v>
      </c>
      <c r="F15" s="22" t="n">
        <v>4</v>
      </c>
    </row>
    <row r="16" customFormat="false" ht="18" hidden="false" customHeight="true" outlineLevel="0" collapsed="false">
      <c r="A16" s="15" t="s">
        <v>17</v>
      </c>
      <c r="B16" s="16" t="n">
        <v>2837020</v>
      </c>
      <c r="C16" s="16" t="n">
        <v>838740</v>
      </c>
      <c r="D16" s="17" t="n">
        <v>0.295641200978492</v>
      </c>
      <c r="E16" s="16" t="n">
        <v>124200</v>
      </c>
      <c r="F16" s="18" t="n">
        <v>4</v>
      </c>
    </row>
    <row r="17" customFormat="false" ht="18" hidden="false" customHeight="true" outlineLevel="0" collapsed="false">
      <c r="A17" s="19" t="s">
        <v>18</v>
      </c>
      <c r="B17" s="20" t="n">
        <v>2763987</v>
      </c>
      <c r="C17" s="20" t="n">
        <v>1699460</v>
      </c>
      <c r="D17" s="21" t="n">
        <v>0.61485817407969</v>
      </c>
      <c r="E17" s="20" t="n">
        <v>159967</v>
      </c>
      <c r="F17" s="22" t="n">
        <v>4</v>
      </c>
    </row>
    <row r="18" customFormat="false" ht="18" hidden="false" customHeight="true" outlineLevel="0" collapsed="false">
      <c r="A18" s="15" t="s">
        <v>19</v>
      </c>
      <c r="B18" s="16" t="n">
        <v>2520069</v>
      </c>
      <c r="C18" s="16" t="n">
        <v>1238106</v>
      </c>
      <c r="D18" s="17" t="n">
        <v>0.491298452542371</v>
      </c>
      <c r="E18" s="16" t="n">
        <v>85943</v>
      </c>
      <c r="F18" s="18" t="n">
        <v>3</v>
      </c>
    </row>
    <row r="19" customFormat="false" ht="18" hidden="false" customHeight="true" outlineLevel="0" collapsed="false">
      <c r="A19" s="19" t="s">
        <v>20</v>
      </c>
      <c r="B19" s="20" t="n">
        <v>1279428</v>
      </c>
      <c r="C19" s="20" t="n">
        <v>894650</v>
      </c>
      <c r="D19" s="21" t="n">
        <v>0.699257793326393</v>
      </c>
      <c r="E19" s="20" t="n">
        <v>52152</v>
      </c>
      <c r="F19" s="22" t="n">
        <v>3</v>
      </c>
    </row>
    <row r="20" customFormat="false" ht="18" hidden="false" customHeight="true" outlineLevel="0" collapsed="false">
      <c r="A20" s="15" t="s">
        <v>21</v>
      </c>
      <c r="B20" s="16" t="n">
        <v>1785875</v>
      </c>
      <c r="C20" s="16" t="n">
        <v>1023800</v>
      </c>
      <c r="D20" s="17" t="n">
        <v>0.573276405123539</v>
      </c>
      <c r="E20" s="16" t="n">
        <v>109313</v>
      </c>
      <c r="F20" s="18" t="n">
        <v>3</v>
      </c>
    </row>
    <row r="21" customFormat="false" ht="18" hidden="false" customHeight="true" outlineLevel="0" collapsed="false">
      <c r="A21" s="19" t="s">
        <v>22</v>
      </c>
      <c r="B21" s="20" t="n">
        <v>1804499</v>
      </c>
      <c r="C21" s="20" t="n">
        <v>1194129.3</v>
      </c>
      <c r="D21" s="21" t="n">
        <v>0.66175115641516</v>
      </c>
      <c r="E21" s="20" t="n">
        <v>91471</v>
      </c>
      <c r="F21" s="22" t="n">
        <v>3</v>
      </c>
    </row>
    <row r="22" customFormat="false" ht="18" hidden="false" customHeight="true" outlineLevel="0" collapsed="false">
      <c r="A22" s="15" t="s">
        <v>23</v>
      </c>
      <c r="B22" s="16" t="n">
        <v>1908133</v>
      </c>
      <c r="C22" s="16" t="n">
        <v>914885</v>
      </c>
      <c r="D22" s="17" t="n">
        <v>0.479466053990995</v>
      </c>
      <c r="E22" s="16" t="n">
        <v>125852</v>
      </c>
      <c r="F22" s="18" t="n">
        <v>3</v>
      </c>
    </row>
    <row r="23" customFormat="false" ht="18" hidden="false" customHeight="true" outlineLevel="0" collapsed="false">
      <c r="A23" s="19" t="s">
        <v>24</v>
      </c>
      <c r="B23" s="20" t="n">
        <v>1308244</v>
      </c>
      <c r="C23" s="20" t="n">
        <v>863914</v>
      </c>
      <c r="D23" s="21" t="n">
        <v>0.660361522774039</v>
      </c>
      <c r="E23" s="20" t="n">
        <v>60998</v>
      </c>
      <c r="F23" s="22" t="n">
        <v>3</v>
      </c>
    </row>
    <row r="24" customFormat="false" ht="19.5" hidden="false" customHeight="true" outlineLevel="0" collapsed="false">
      <c r="A24" s="23" t="s">
        <v>25</v>
      </c>
      <c r="B24" s="24" t="n">
        <f aca="false">SUM(B12:B23)</f>
        <v>28256645</v>
      </c>
      <c r="C24" s="24" t="n">
        <f aca="false">SUM(C12:C23)</f>
        <v>15193504.3</v>
      </c>
      <c r="D24" s="25" t="n">
        <f aca="false">IFERROR(C24/B24,0)</f>
        <v>0.537696683381909</v>
      </c>
      <c r="E24" s="24" t="n">
        <f aca="false">SUM(E12:E23)</f>
        <v>1618926</v>
      </c>
      <c r="F24" s="26" t="n">
        <f aca="false">AVERAGE(F12:F23)</f>
        <v>3.5</v>
      </c>
    </row>
  </sheetData>
  <mergeCells count="13">
    <mergeCell ref="A2:M2"/>
    <mergeCell ref="N2:R2"/>
    <mergeCell ref="A5:C5"/>
    <mergeCell ref="D5:F5"/>
    <mergeCell ref="G5:I5"/>
    <mergeCell ref="J5:L5"/>
    <mergeCell ref="N5:P5"/>
    <mergeCell ref="A6:C6"/>
    <mergeCell ref="D6:F6"/>
    <mergeCell ref="G6:I6"/>
    <mergeCell ref="J6:L6"/>
    <mergeCell ref="N6:P6"/>
    <mergeCell ref="A10:J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15" min="3" style="0" width="15"/>
  </cols>
  <sheetData>
    <row r="1" customFormat="false" ht="7.5" hidden="false" customHeight="true" outlineLevel="0" collapsed="false"/>
    <row r="2" customFormat="false" ht="36" hidden="false" customHeight="true" outlineLevel="0" collapsed="false">
      <c r="A2" s="27" t="s">
        <v>26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customFormat="false" ht="7.5" hidden="false" customHeight="true" outlineLevel="0" collapsed="false"/>
    <row r="4" customFormat="false" ht="21.75" hidden="false" customHeight="true" outlineLevel="0" collapsed="false">
      <c r="A4" s="28" t="s">
        <v>27</v>
      </c>
      <c r="B4" s="28" t="s">
        <v>28</v>
      </c>
      <c r="C4" s="28" t="s">
        <v>13</v>
      </c>
      <c r="D4" s="28" t="s">
        <v>14</v>
      </c>
      <c r="E4" s="28" t="s">
        <v>15</v>
      </c>
      <c r="F4" s="28" t="s">
        <v>16</v>
      </c>
      <c r="G4" s="28" t="s">
        <v>17</v>
      </c>
      <c r="H4" s="28" t="s">
        <v>18</v>
      </c>
      <c r="I4" s="28" t="s">
        <v>19</v>
      </c>
      <c r="J4" s="28" t="s">
        <v>20</v>
      </c>
      <c r="K4" s="28" t="s">
        <v>21</v>
      </c>
      <c r="L4" s="28" t="s">
        <v>22</v>
      </c>
      <c r="M4" s="28" t="s">
        <v>23</v>
      </c>
      <c r="N4" s="28" t="s">
        <v>24</v>
      </c>
      <c r="O4" s="14" t="s">
        <v>29</v>
      </c>
    </row>
    <row r="5" customFormat="false" ht="18" hidden="false" customHeight="true" outlineLevel="0" collapsed="false">
      <c r="A5" s="29" t="n">
        <v>3754</v>
      </c>
      <c r="B5" s="15" t="s">
        <v>30</v>
      </c>
      <c r="C5" s="20" t="n">
        <v>1039940</v>
      </c>
      <c r="D5" s="20" t="n">
        <v>1273544</v>
      </c>
      <c r="E5" s="20" t="n">
        <v>1482082</v>
      </c>
      <c r="F5" s="20" t="n">
        <v>1689434</v>
      </c>
      <c r="G5" s="20" t="n">
        <v>941248</v>
      </c>
      <c r="H5" s="20" t="n">
        <v>1271114</v>
      </c>
      <c r="I5" s="20" t="n">
        <v>1213419</v>
      </c>
      <c r="J5" s="20" t="n">
        <v>30270</v>
      </c>
      <c r="K5" s="20" t="n">
        <v>336220</v>
      </c>
      <c r="L5" s="20" t="n">
        <v>383544</v>
      </c>
      <c r="M5" s="20" t="n">
        <v>612713</v>
      </c>
      <c r="N5" s="20" t="n">
        <v>179913</v>
      </c>
      <c r="O5" s="24" t="n">
        <f aca="false">SUM(C5:N5)</f>
        <v>10453441</v>
      </c>
    </row>
    <row r="6" customFormat="false" ht="18" hidden="false" customHeight="true" outlineLevel="0" collapsed="false">
      <c r="A6" s="30"/>
      <c r="B6" s="31" t="s">
        <v>31</v>
      </c>
      <c r="C6" s="32" t="n">
        <v>703483</v>
      </c>
      <c r="D6" s="32" t="n">
        <v>728975</v>
      </c>
      <c r="E6" s="32" t="n">
        <v>808508</v>
      </c>
      <c r="F6" s="32" t="n">
        <v>1090600</v>
      </c>
      <c r="G6" s="32" t="n">
        <v>277810</v>
      </c>
      <c r="H6" s="32" t="n">
        <v>800250</v>
      </c>
      <c r="I6" s="32" t="n">
        <v>579826</v>
      </c>
      <c r="J6" s="32" t="n">
        <v>27245</v>
      </c>
      <c r="K6" s="32" t="n">
        <v>274005</v>
      </c>
      <c r="L6" s="32" t="n">
        <v>285045</v>
      </c>
      <c r="M6" s="32" t="n">
        <v>325540</v>
      </c>
      <c r="N6" s="32" t="n">
        <v>101730</v>
      </c>
      <c r="O6" s="33" t="n">
        <f aca="false">SUM(C6:N6)</f>
        <v>6003017</v>
      </c>
    </row>
    <row r="7" customFormat="false" ht="18" hidden="false" customHeight="true" outlineLevel="0" collapsed="false">
      <c r="A7" s="29" t="n">
        <v>6135</v>
      </c>
      <c r="B7" s="15" t="s">
        <v>30</v>
      </c>
      <c r="C7" s="20" t="n">
        <v>1081891</v>
      </c>
      <c r="D7" s="20" t="n">
        <v>669156</v>
      </c>
      <c r="E7" s="20" t="n">
        <v>457623</v>
      </c>
      <c r="F7" s="20" t="n">
        <v>579462</v>
      </c>
      <c r="G7" s="20" t="n">
        <v>297011</v>
      </c>
      <c r="H7" s="20" t="n">
        <v>667957</v>
      </c>
      <c r="I7" s="20" t="n">
        <v>934695</v>
      </c>
      <c r="J7" s="20" t="n">
        <v>482478</v>
      </c>
      <c r="K7" s="20" t="n">
        <v>865133</v>
      </c>
      <c r="L7" s="20" t="n">
        <v>860857</v>
      </c>
      <c r="M7" s="20" t="n">
        <v>747174</v>
      </c>
      <c r="N7" s="20" t="n">
        <v>163855</v>
      </c>
      <c r="O7" s="24" t="n">
        <f aca="false">SUM(C7:N7)</f>
        <v>7807292</v>
      </c>
    </row>
    <row r="8" customFormat="false" ht="18" hidden="false" customHeight="true" outlineLevel="0" collapsed="false">
      <c r="A8" s="30"/>
      <c r="B8" s="31" t="s">
        <v>31</v>
      </c>
      <c r="C8" s="32" t="n">
        <v>461891</v>
      </c>
      <c r="D8" s="32" t="n">
        <v>344966</v>
      </c>
      <c r="E8" s="32" t="n">
        <v>269080</v>
      </c>
      <c r="F8" s="32" t="n">
        <v>13910</v>
      </c>
      <c r="G8" s="32" t="n">
        <v>42000</v>
      </c>
      <c r="H8" s="32" t="n">
        <v>294990</v>
      </c>
      <c r="I8" s="32" t="n">
        <v>400875</v>
      </c>
      <c r="J8" s="32" t="n">
        <v>360885</v>
      </c>
      <c r="K8" s="32" t="n">
        <v>460755</v>
      </c>
      <c r="L8" s="32" t="n">
        <v>510725</v>
      </c>
      <c r="M8" s="32" t="n">
        <v>270815</v>
      </c>
      <c r="N8" s="32" t="n">
        <v>146140</v>
      </c>
      <c r="O8" s="33" t="n">
        <f aca="false">SUM(C8:N8)</f>
        <v>3577032</v>
      </c>
    </row>
    <row r="9" customFormat="false" ht="18" hidden="false" customHeight="true" outlineLevel="0" collapsed="false">
      <c r="A9" s="29" t="n">
        <v>6167</v>
      </c>
      <c r="B9" s="15" t="s">
        <v>30</v>
      </c>
      <c r="C9" s="20" t="n">
        <v>327951</v>
      </c>
      <c r="D9" s="20" t="n">
        <v>32960</v>
      </c>
      <c r="E9" s="20" t="n">
        <v>760432</v>
      </c>
      <c r="F9" s="20" t="n">
        <v>1047908</v>
      </c>
      <c r="G9" s="20" t="n">
        <v>806368</v>
      </c>
      <c r="H9" s="20" t="n">
        <v>464289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24" t="n">
        <f aca="false">SUM(C9:N9)</f>
        <v>3439908</v>
      </c>
    </row>
    <row r="10" customFormat="false" ht="18" hidden="false" customHeight="true" outlineLevel="0" collapsed="false">
      <c r="A10" s="30"/>
      <c r="B10" s="31" t="s">
        <v>31</v>
      </c>
      <c r="C10" s="32" t="n">
        <v>190391</v>
      </c>
      <c r="D10" s="32" t="n">
        <v>-10910</v>
      </c>
      <c r="E10" s="32" t="n">
        <v>664472</v>
      </c>
      <c r="F10" s="32" t="n">
        <v>647400</v>
      </c>
      <c r="G10" s="32" t="n">
        <v>195520</v>
      </c>
      <c r="H10" s="32" t="n">
        <v>296950</v>
      </c>
      <c r="I10" s="32" t="n">
        <v>0</v>
      </c>
      <c r="J10" s="32" t="n">
        <v>0</v>
      </c>
      <c r="K10" s="32" t="n">
        <v>0</v>
      </c>
      <c r="L10" s="32" t="n">
        <v>0</v>
      </c>
      <c r="M10" s="32" t="n">
        <v>0</v>
      </c>
      <c r="N10" s="32" t="n">
        <v>0</v>
      </c>
      <c r="O10" s="33" t="n">
        <f aca="false">SUM(C10:N10)</f>
        <v>1983823</v>
      </c>
    </row>
    <row r="11" customFormat="false" ht="18" hidden="false" customHeight="true" outlineLevel="0" collapsed="false">
      <c r="A11" s="29" t="n">
        <v>6168</v>
      </c>
      <c r="B11" s="15" t="s">
        <v>30</v>
      </c>
      <c r="C11" s="20" t="n">
        <v>294500</v>
      </c>
      <c r="D11" s="20" t="n">
        <v>245571</v>
      </c>
      <c r="E11" s="20" t="n">
        <v>463063</v>
      </c>
      <c r="F11" s="20" t="n">
        <v>603873</v>
      </c>
      <c r="G11" s="20" t="n">
        <v>792393</v>
      </c>
      <c r="H11" s="20" t="n">
        <v>360627</v>
      </c>
      <c r="I11" s="20" t="n">
        <v>371955</v>
      </c>
      <c r="J11" s="20" t="n">
        <v>766680</v>
      </c>
      <c r="K11" s="20" t="n">
        <v>584522</v>
      </c>
      <c r="L11" s="20" t="n">
        <v>560098</v>
      </c>
      <c r="M11" s="20" t="n">
        <v>548246</v>
      </c>
      <c r="N11" s="20" t="n">
        <v>964476</v>
      </c>
      <c r="O11" s="24" t="n">
        <f aca="false">SUM(C11:N11)</f>
        <v>6556004</v>
      </c>
    </row>
    <row r="12" customFormat="false" ht="18" hidden="false" customHeight="true" outlineLevel="0" collapsed="false">
      <c r="A12" s="30"/>
      <c r="B12" s="31" t="s">
        <v>31</v>
      </c>
      <c r="C12" s="32" t="n">
        <v>86200</v>
      </c>
      <c r="D12" s="32" t="n">
        <v>93524</v>
      </c>
      <c r="E12" s="32" t="n">
        <v>125310</v>
      </c>
      <c r="F12" s="32" t="n">
        <v>308020</v>
      </c>
      <c r="G12" s="32" t="n">
        <v>323410</v>
      </c>
      <c r="H12" s="32" t="n">
        <v>307270</v>
      </c>
      <c r="I12" s="32" t="n">
        <v>257405</v>
      </c>
      <c r="J12" s="32" t="n">
        <v>506520</v>
      </c>
      <c r="K12" s="32" t="n">
        <v>289040</v>
      </c>
      <c r="L12" s="32" t="n">
        <v>398359.3</v>
      </c>
      <c r="M12" s="32" t="n">
        <v>318530</v>
      </c>
      <c r="N12" s="32" t="n">
        <v>616044</v>
      </c>
      <c r="O12" s="33" t="n">
        <f aca="false">SUM(C12:N12)</f>
        <v>3629632.3</v>
      </c>
    </row>
  </sheetData>
  <mergeCells count="1"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34" t="s">
        <v>32</v>
      </c>
      <c r="B2" s="34"/>
      <c r="C2" s="34"/>
      <c r="D2" s="34"/>
      <c r="E2" s="34"/>
      <c r="F2" s="34"/>
      <c r="G2" s="34"/>
      <c r="H2" s="34"/>
    </row>
    <row r="3" customFormat="false" ht="7.5" hidden="false" customHeight="true" outlineLevel="0" collapsed="false"/>
    <row r="4" customFormat="false" ht="19.5" hidden="false" customHeight="true" outlineLevel="0" collapsed="false">
      <c r="A4" s="14" t="s">
        <v>8</v>
      </c>
      <c r="B4" s="14" t="s">
        <v>33</v>
      </c>
      <c r="C4" s="14" t="s">
        <v>9</v>
      </c>
      <c r="D4" s="14" t="s">
        <v>10</v>
      </c>
      <c r="E4" s="14" t="s">
        <v>34</v>
      </c>
      <c r="F4" s="14" t="s">
        <v>35</v>
      </c>
      <c r="G4" s="14" t="s">
        <v>36</v>
      </c>
    </row>
    <row r="5" customFormat="false" ht="15.75" hidden="false" customHeight="true" outlineLevel="0" collapsed="false">
      <c r="A5" s="15" t="s">
        <v>13</v>
      </c>
      <c r="B5" s="29" t="n">
        <v>3754</v>
      </c>
      <c r="C5" s="16" t="n">
        <v>1039940</v>
      </c>
      <c r="D5" s="16" t="n">
        <v>703483</v>
      </c>
      <c r="E5" s="17" t="n">
        <v>0.676464988364713</v>
      </c>
      <c r="F5" s="17" t="n">
        <v>0.0368033784619512</v>
      </c>
      <c r="G5" s="35" t="s">
        <v>37</v>
      </c>
    </row>
    <row r="6" customFormat="false" ht="15.75" hidden="false" customHeight="true" outlineLevel="0" collapsed="false">
      <c r="A6" s="15" t="s">
        <v>13</v>
      </c>
      <c r="B6" s="29" t="n">
        <v>6135</v>
      </c>
      <c r="C6" s="16" t="n">
        <v>1081891</v>
      </c>
      <c r="D6" s="16" t="n">
        <v>461891</v>
      </c>
      <c r="E6" s="17" t="n">
        <v>0.426929330219033</v>
      </c>
      <c r="F6" s="17" t="n">
        <v>0.0382880203930792</v>
      </c>
      <c r="G6" s="35" t="s">
        <v>37</v>
      </c>
    </row>
    <row r="7" customFormat="false" ht="15.75" hidden="false" customHeight="true" outlineLevel="0" collapsed="false">
      <c r="A7" s="15" t="s">
        <v>13</v>
      </c>
      <c r="B7" s="29" t="n">
        <v>6167</v>
      </c>
      <c r="C7" s="16" t="n">
        <v>327951</v>
      </c>
      <c r="D7" s="16" t="n">
        <v>190391</v>
      </c>
      <c r="E7" s="17" t="n">
        <v>0.580547093925617</v>
      </c>
      <c r="F7" s="17" t="n">
        <v>0.0116061549416075</v>
      </c>
      <c r="G7" s="35" t="s">
        <v>37</v>
      </c>
    </row>
    <row r="8" customFormat="false" ht="15.75" hidden="false" customHeight="true" outlineLevel="0" collapsed="false">
      <c r="A8" s="15" t="s">
        <v>13</v>
      </c>
      <c r="B8" s="29" t="n">
        <v>6168</v>
      </c>
      <c r="C8" s="16" t="n">
        <v>294500</v>
      </c>
      <c r="D8" s="16" t="n">
        <v>86200</v>
      </c>
      <c r="E8" s="17" t="n">
        <v>0.292699490662139</v>
      </c>
      <c r="F8" s="17" t="n">
        <v>0.0104223272083434</v>
      </c>
      <c r="G8" s="35" t="s">
        <v>37</v>
      </c>
    </row>
    <row r="9" customFormat="false" ht="15.75" hidden="false" customHeight="true" outlineLevel="0" collapsed="false">
      <c r="A9" s="19" t="s">
        <v>14</v>
      </c>
      <c r="B9" s="36" t="n">
        <v>3754</v>
      </c>
      <c r="C9" s="20" t="n">
        <v>1273544</v>
      </c>
      <c r="D9" s="20" t="n">
        <v>728975</v>
      </c>
      <c r="E9" s="21" t="n">
        <v>0.572398754970382</v>
      </c>
      <c r="F9" s="21" t="n">
        <v>0.0450706019769863</v>
      </c>
      <c r="G9" s="37" t="s">
        <v>37</v>
      </c>
    </row>
    <row r="10" customFormat="false" ht="15.75" hidden="false" customHeight="true" outlineLevel="0" collapsed="false">
      <c r="A10" s="19" t="s">
        <v>14</v>
      </c>
      <c r="B10" s="36" t="n">
        <v>6135</v>
      </c>
      <c r="C10" s="20" t="n">
        <v>669156</v>
      </c>
      <c r="D10" s="20" t="n">
        <v>344966</v>
      </c>
      <c r="E10" s="21" t="n">
        <v>0.515524033259808</v>
      </c>
      <c r="F10" s="21" t="n">
        <v>0.023681367692449</v>
      </c>
      <c r="G10" s="37" t="s">
        <v>37</v>
      </c>
    </row>
    <row r="11" customFormat="false" ht="15.75" hidden="false" customHeight="true" outlineLevel="0" collapsed="false">
      <c r="A11" s="19" t="s">
        <v>14</v>
      </c>
      <c r="B11" s="36" t="n">
        <v>6167</v>
      </c>
      <c r="C11" s="20" t="n">
        <v>32960</v>
      </c>
      <c r="D11" s="20" t="n">
        <v>-10910</v>
      </c>
      <c r="E11" s="21" t="n">
        <v>-0.331007281553398</v>
      </c>
      <c r="F11" s="21" t="n">
        <v>0.00116645128959931</v>
      </c>
      <c r="G11" s="37" t="s">
        <v>37</v>
      </c>
    </row>
    <row r="12" customFormat="false" ht="15.75" hidden="false" customHeight="true" outlineLevel="0" collapsed="false">
      <c r="A12" s="19" t="s">
        <v>14</v>
      </c>
      <c r="B12" s="36" t="n">
        <v>6168</v>
      </c>
      <c r="C12" s="20" t="n">
        <v>245571</v>
      </c>
      <c r="D12" s="20" t="n">
        <v>93524</v>
      </c>
      <c r="E12" s="21" t="n">
        <v>0.380843014851102</v>
      </c>
      <c r="F12" s="21" t="n">
        <v>0.00869073451572188</v>
      </c>
      <c r="G12" s="37" t="s">
        <v>37</v>
      </c>
    </row>
    <row r="13" customFormat="false" ht="15.75" hidden="false" customHeight="true" outlineLevel="0" collapsed="false">
      <c r="A13" s="15" t="s">
        <v>15</v>
      </c>
      <c r="B13" s="29" t="n">
        <v>3754</v>
      </c>
      <c r="C13" s="16" t="n">
        <v>1482082</v>
      </c>
      <c r="D13" s="16" t="n">
        <v>808508</v>
      </c>
      <c r="E13" s="17" t="n">
        <v>0.545521772749416</v>
      </c>
      <c r="F13" s="17" t="n">
        <v>0.0524507421174736</v>
      </c>
      <c r="G13" s="35" t="s">
        <v>37</v>
      </c>
    </row>
    <row r="14" customFormat="false" ht="15.75" hidden="false" customHeight="true" outlineLevel="0" collapsed="false">
      <c r="A14" s="15" t="s">
        <v>15</v>
      </c>
      <c r="B14" s="29" t="n">
        <v>6135</v>
      </c>
      <c r="C14" s="16" t="n">
        <v>457623</v>
      </c>
      <c r="D14" s="16" t="n">
        <v>269080</v>
      </c>
      <c r="E14" s="17" t="n">
        <v>0.587994921583924</v>
      </c>
      <c r="F14" s="17" t="n">
        <v>0.0161952347845967</v>
      </c>
      <c r="G14" s="35" t="s">
        <v>37</v>
      </c>
    </row>
    <row r="15" customFormat="false" ht="15.75" hidden="false" customHeight="true" outlineLevel="0" collapsed="false">
      <c r="A15" s="15" t="s">
        <v>15</v>
      </c>
      <c r="B15" s="29" t="n">
        <v>6167</v>
      </c>
      <c r="C15" s="16" t="n">
        <v>760432</v>
      </c>
      <c r="D15" s="16" t="n">
        <v>664472</v>
      </c>
      <c r="E15" s="17" t="n">
        <v>0.873808571969617</v>
      </c>
      <c r="F15" s="17" t="n">
        <v>0.0269116167188284</v>
      </c>
      <c r="G15" s="35" t="s">
        <v>37</v>
      </c>
    </row>
    <row r="16" customFormat="false" ht="15.75" hidden="false" customHeight="true" outlineLevel="0" collapsed="false">
      <c r="A16" s="15" t="s">
        <v>15</v>
      </c>
      <c r="B16" s="29" t="n">
        <v>6168</v>
      </c>
      <c r="C16" s="16" t="n">
        <v>463063</v>
      </c>
      <c r="D16" s="16" t="n">
        <v>125310</v>
      </c>
      <c r="E16" s="17" t="n">
        <v>0.270611126347819</v>
      </c>
      <c r="F16" s="17" t="n">
        <v>0.0163877558712296</v>
      </c>
      <c r="G16" s="35" t="s">
        <v>37</v>
      </c>
    </row>
    <row r="17" customFormat="false" ht="15.75" hidden="false" customHeight="true" outlineLevel="0" collapsed="false">
      <c r="A17" s="19" t="s">
        <v>16</v>
      </c>
      <c r="B17" s="36" t="n">
        <v>3754</v>
      </c>
      <c r="C17" s="20" t="n">
        <v>1689434</v>
      </c>
      <c r="D17" s="20" t="n">
        <v>1090600</v>
      </c>
      <c r="E17" s="21" t="n">
        <v>0.645541642940772</v>
      </c>
      <c r="F17" s="21" t="n">
        <v>0.0597889098298825</v>
      </c>
      <c r="G17" s="37" t="s">
        <v>37</v>
      </c>
    </row>
    <row r="18" customFormat="false" ht="15.75" hidden="false" customHeight="true" outlineLevel="0" collapsed="false">
      <c r="A18" s="19" t="s">
        <v>16</v>
      </c>
      <c r="B18" s="36" t="n">
        <v>6135</v>
      </c>
      <c r="C18" s="20" t="n">
        <v>579462</v>
      </c>
      <c r="D18" s="20" t="n">
        <v>13910</v>
      </c>
      <c r="E18" s="21" t="n">
        <v>0.0240050253511015</v>
      </c>
      <c r="F18" s="21" t="n">
        <v>0.0205071054967778</v>
      </c>
      <c r="G18" s="37" t="s">
        <v>37</v>
      </c>
    </row>
    <row r="19" customFormat="false" ht="15.75" hidden="false" customHeight="true" outlineLevel="0" collapsed="false">
      <c r="A19" s="19" t="s">
        <v>16</v>
      </c>
      <c r="B19" s="36" t="n">
        <v>6167</v>
      </c>
      <c r="C19" s="20" t="n">
        <v>1047908</v>
      </c>
      <c r="D19" s="20" t="n">
        <v>647400</v>
      </c>
      <c r="E19" s="21" t="n">
        <v>0.617802326158403</v>
      </c>
      <c r="F19" s="21" t="n">
        <v>0.0370853652300194</v>
      </c>
      <c r="G19" s="37" t="s">
        <v>37</v>
      </c>
    </row>
    <row r="20" customFormat="false" ht="15.75" hidden="false" customHeight="true" outlineLevel="0" collapsed="false">
      <c r="A20" s="19" t="s">
        <v>16</v>
      </c>
      <c r="B20" s="36" t="n">
        <v>6168</v>
      </c>
      <c r="C20" s="20" t="n">
        <v>603873</v>
      </c>
      <c r="D20" s="20" t="n">
        <v>308020</v>
      </c>
      <c r="E20" s="21" t="n">
        <v>0.510074138105198</v>
      </c>
      <c r="F20" s="21" t="n">
        <v>0.0213710084831373</v>
      </c>
      <c r="G20" s="37" t="s">
        <v>37</v>
      </c>
    </row>
    <row r="21" customFormat="false" ht="15.75" hidden="false" customHeight="true" outlineLevel="0" collapsed="false">
      <c r="A21" s="15" t="s">
        <v>17</v>
      </c>
      <c r="B21" s="29" t="n">
        <v>3754</v>
      </c>
      <c r="C21" s="16" t="n">
        <v>941248</v>
      </c>
      <c r="D21" s="16" t="n">
        <v>277810</v>
      </c>
      <c r="E21" s="17" t="n">
        <v>0.29515069354729</v>
      </c>
      <c r="F21" s="17" t="n">
        <v>0.0333106778954119</v>
      </c>
      <c r="G21" s="35" t="s">
        <v>37</v>
      </c>
    </row>
    <row r="22" customFormat="false" ht="15.75" hidden="false" customHeight="true" outlineLevel="0" collapsed="false">
      <c r="A22" s="15" t="s">
        <v>17</v>
      </c>
      <c r="B22" s="29" t="n">
        <v>6135</v>
      </c>
      <c r="C22" s="16" t="n">
        <v>297011</v>
      </c>
      <c r="D22" s="16" t="n">
        <v>42000</v>
      </c>
      <c r="E22" s="17" t="n">
        <v>0.141408904047325</v>
      </c>
      <c r="F22" s="17" t="n">
        <v>0.0105111912613829</v>
      </c>
      <c r="G22" s="35" t="s">
        <v>37</v>
      </c>
    </row>
    <row r="23" customFormat="false" ht="15.75" hidden="false" customHeight="true" outlineLevel="0" collapsed="false">
      <c r="A23" s="15" t="s">
        <v>17</v>
      </c>
      <c r="B23" s="29" t="n">
        <v>6167</v>
      </c>
      <c r="C23" s="16" t="n">
        <v>806368</v>
      </c>
      <c r="D23" s="16" t="n">
        <v>195520</v>
      </c>
      <c r="E23" s="17" t="n">
        <v>0.242469939283305</v>
      </c>
      <c r="F23" s="17" t="n">
        <v>0.0285372874238962</v>
      </c>
      <c r="G23" s="35" t="s">
        <v>37</v>
      </c>
    </row>
    <row r="24" customFormat="false" ht="15.75" hidden="false" customHeight="true" outlineLevel="0" collapsed="false">
      <c r="A24" s="15" t="s">
        <v>17</v>
      </c>
      <c r="B24" s="29" t="n">
        <v>6168</v>
      </c>
      <c r="C24" s="16" t="n">
        <v>792393</v>
      </c>
      <c r="D24" s="16" t="n">
        <v>323410</v>
      </c>
      <c r="E24" s="17" t="n">
        <v>0.408143433876877</v>
      </c>
      <c r="F24" s="17" t="n">
        <v>0.0280427134927023</v>
      </c>
      <c r="G24" s="35" t="s">
        <v>37</v>
      </c>
    </row>
    <row r="25" customFormat="false" ht="15.75" hidden="false" customHeight="true" outlineLevel="0" collapsed="false">
      <c r="A25" s="19" t="s">
        <v>18</v>
      </c>
      <c r="B25" s="36" t="n">
        <v>3754</v>
      </c>
      <c r="C25" s="20" t="n">
        <v>1271114</v>
      </c>
      <c r="D25" s="20" t="n">
        <v>800250</v>
      </c>
      <c r="E25" s="21" t="n">
        <v>0.629565876860769</v>
      </c>
      <c r="F25" s="21" t="n">
        <v>0.0449846045063029</v>
      </c>
      <c r="G25" s="37" t="s">
        <v>37</v>
      </c>
    </row>
    <row r="26" customFormat="false" ht="15.75" hidden="false" customHeight="true" outlineLevel="0" collapsed="false">
      <c r="A26" s="19" t="s">
        <v>18</v>
      </c>
      <c r="B26" s="36" t="n">
        <v>6135</v>
      </c>
      <c r="C26" s="20" t="n">
        <v>667957</v>
      </c>
      <c r="D26" s="20" t="n">
        <v>294990</v>
      </c>
      <c r="E26" s="21" t="n">
        <v>0.441630224700093</v>
      </c>
      <c r="F26" s="21" t="n">
        <v>0.0236389351955974</v>
      </c>
      <c r="G26" s="37" t="s">
        <v>37</v>
      </c>
    </row>
    <row r="27" customFormat="false" ht="15.75" hidden="false" customHeight="true" outlineLevel="0" collapsed="false">
      <c r="A27" s="19" t="s">
        <v>18</v>
      </c>
      <c r="B27" s="36" t="n">
        <v>6167</v>
      </c>
      <c r="C27" s="20" t="n">
        <v>464289</v>
      </c>
      <c r="D27" s="20" t="n">
        <v>296950</v>
      </c>
      <c r="E27" s="21" t="n">
        <v>0.639580089125523</v>
      </c>
      <c r="F27" s="21" t="n">
        <v>0.0164311438955333</v>
      </c>
      <c r="G27" s="37" t="s">
        <v>37</v>
      </c>
    </row>
    <row r="28" customFormat="false" ht="15.75" hidden="false" customHeight="true" outlineLevel="0" collapsed="false">
      <c r="A28" s="19" t="s">
        <v>18</v>
      </c>
      <c r="B28" s="36" t="n">
        <v>6168</v>
      </c>
      <c r="C28" s="20" t="n">
        <v>360627</v>
      </c>
      <c r="D28" s="20" t="n">
        <v>307270</v>
      </c>
      <c r="E28" s="21" t="n">
        <v>0.852043801490182</v>
      </c>
      <c r="F28" s="21" t="n">
        <v>0.0127625554980076</v>
      </c>
      <c r="G28" s="37" t="s">
        <v>37</v>
      </c>
    </row>
    <row r="29" customFormat="false" ht="15.75" hidden="false" customHeight="true" outlineLevel="0" collapsed="false">
      <c r="A29" s="15" t="s">
        <v>19</v>
      </c>
      <c r="B29" s="29" t="n">
        <v>3754</v>
      </c>
      <c r="C29" s="16" t="n">
        <v>1213419</v>
      </c>
      <c r="D29" s="16" t="n">
        <v>579826</v>
      </c>
      <c r="E29" s="17" t="n">
        <v>0.477844833482911</v>
      </c>
      <c r="F29" s="17" t="n">
        <v>0.0429427839009196</v>
      </c>
      <c r="G29" s="35" t="s">
        <v>37</v>
      </c>
    </row>
    <row r="30" customFormat="false" ht="15.75" hidden="false" customHeight="true" outlineLevel="0" collapsed="false">
      <c r="A30" s="15" t="s">
        <v>19</v>
      </c>
      <c r="B30" s="29" t="n">
        <v>6135</v>
      </c>
      <c r="C30" s="16" t="n">
        <v>934695</v>
      </c>
      <c r="D30" s="16" t="n">
        <v>400875</v>
      </c>
      <c r="E30" s="17" t="n">
        <v>0.428883218590021</v>
      </c>
      <c r="F30" s="17" t="n">
        <v>0.0330787678438116</v>
      </c>
      <c r="G30" s="35" t="s">
        <v>37</v>
      </c>
    </row>
    <row r="31" customFormat="false" ht="15.75" hidden="false" customHeight="true" outlineLevel="0" collapsed="false">
      <c r="A31" s="15" t="s">
        <v>19</v>
      </c>
      <c r="B31" s="29" t="n">
        <v>6167</v>
      </c>
      <c r="C31" s="16" t="n">
        <v>0</v>
      </c>
      <c r="D31" s="16" t="n">
        <v>0</v>
      </c>
      <c r="E31" s="17" t="n">
        <v>0</v>
      </c>
      <c r="F31" s="17" t="n">
        <v>0</v>
      </c>
      <c r="G31" s="38" t="s">
        <v>38</v>
      </c>
    </row>
    <row r="32" customFormat="false" ht="15.75" hidden="false" customHeight="true" outlineLevel="0" collapsed="false">
      <c r="A32" s="15" t="s">
        <v>19</v>
      </c>
      <c r="B32" s="29" t="n">
        <v>6168</v>
      </c>
      <c r="C32" s="16" t="n">
        <v>371955</v>
      </c>
      <c r="D32" s="16" t="n">
        <v>257405</v>
      </c>
      <c r="E32" s="17" t="n">
        <v>0.692032638356791</v>
      </c>
      <c r="F32" s="17" t="n">
        <v>0.0131634523489961</v>
      </c>
      <c r="G32" s="35" t="s">
        <v>37</v>
      </c>
    </row>
    <row r="33" customFormat="false" ht="15.75" hidden="false" customHeight="true" outlineLevel="0" collapsed="false">
      <c r="A33" s="19" t="s">
        <v>20</v>
      </c>
      <c r="B33" s="36" t="n">
        <v>3754</v>
      </c>
      <c r="C33" s="20" t="n">
        <v>30270</v>
      </c>
      <c r="D33" s="20" t="n">
        <v>27245</v>
      </c>
      <c r="E33" s="21" t="n">
        <v>0.9000660720185</v>
      </c>
      <c r="F33" s="21" t="n">
        <v>0.0010712524434518</v>
      </c>
      <c r="G33" s="37" t="s">
        <v>37</v>
      </c>
    </row>
    <row r="34" customFormat="false" ht="15.75" hidden="false" customHeight="true" outlineLevel="0" collapsed="false">
      <c r="A34" s="19" t="s">
        <v>20</v>
      </c>
      <c r="B34" s="36" t="n">
        <v>6135</v>
      </c>
      <c r="C34" s="20" t="n">
        <v>482478</v>
      </c>
      <c r="D34" s="20" t="n">
        <v>360885</v>
      </c>
      <c r="E34" s="21" t="n">
        <v>0.747982291420541</v>
      </c>
      <c r="F34" s="21" t="n">
        <v>0.0170748508890564</v>
      </c>
      <c r="G34" s="37" t="s">
        <v>37</v>
      </c>
    </row>
    <row r="35" customFormat="false" ht="15.75" hidden="false" customHeight="true" outlineLevel="0" collapsed="false">
      <c r="A35" s="19" t="s">
        <v>20</v>
      </c>
      <c r="B35" s="36" t="n">
        <v>6167</v>
      </c>
      <c r="C35" s="20" t="n">
        <v>0</v>
      </c>
      <c r="D35" s="20" t="n">
        <v>0</v>
      </c>
      <c r="E35" s="21" t="n">
        <v>0</v>
      </c>
      <c r="F35" s="21" t="n">
        <v>0</v>
      </c>
      <c r="G35" s="39" t="s">
        <v>38</v>
      </c>
    </row>
    <row r="36" customFormat="false" ht="15.75" hidden="false" customHeight="true" outlineLevel="0" collapsed="false">
      <c r="A36" s="19" t="s">
        <v>20</v>
      </c>
      <c r="B36" s="36" t="n">
        <v>6168</v>
      </c>
      <c r="C36" s="20" t="n">
        <v>766680</v>
      </c>
      <c r="D36" s="20" t="n">
        <v>506520</v>
      </c>
      <c r="E36" s="21" t="n">
        <v>0.660666771012678</v>
      </c>
      <c r="F36" s="21" t="n">
        <v>0.0271327328492112</v>
      </c>
      <c r="G36" s="37" t="s">
        <v>37</v>
      </c>
    </row>
    <row r="37" customFormat="false" ht="15.75" hidden="false" customHeight="true" outlineLevel="0" collapsed="false">
      <c r="A37" s="15" t="s">
        <v>21</v>
      </c>
      <c r="B37" s="29" t="n">
        <v>3754</v>
      </c>
      <c r="C37" s="16" t="n">
        <v>336220</v>
      </c>
      <c r="D37" s="16" t="n">
        <v>274005</v>
      </c>
      <c r="E37" s="17" t="n">
        <v>0.814957468324312</v>
      </c>
      <c r="F37" s="17" t="n">
        <v>0.0118987940712707</v>
      </c>
      <c r="G37" s="35" t="s">
        <v>37</v>
      </c>
    </row>
    <row r="38" customFormat="false" ht="15.75" hidden="false" customHeight="true" outlineLevel="0" collapsed="false">
      <c r="A38" s="15" t="s">
        <v>21</v>
      </c>
      <c r="B38" s="29" t="n">
        <v>6135</v>
      </c>
      <c r="C38" s="16" t="n">
        <v>865133</v>
      </c>
      <c r="D38" s="16" t="n">
        <v>460755</v>
      </c>
      <c r="E38" s="17" t="n">
        <v>0.532582851422845</v>
      </c>
      <c r="F38" s="17" t="n">
        <v>0.0306169752283047</v>
      </c>
      <c r="G38" s="35" t="s">
        <v>37</v>
      </c>
    </row>
    <row r="39" customFormat="false" ht="15.75" hidden="false" customHeight="true" outlineLevel="0" collapsed="false">
      <c r="A39" s="15" t="s">
        <v>21</v>
      </c>
      <c r="B39" s="29" t="n">
        <v>6167</v>
      </c>
      <c r="C39" s="16" t="n">
        <v>0</v>
      </c>
      <c r="D39" s="16" t="n">
        <v>0</v>
      </c>
      <c r="E39" s="17" t="n">
        <v>0</v>
      </c>
      <c r="F39" s="17" t="n">
        <v>0</v>
      </c>
      <c r="G39" s="38" t="s">
        <v>38</v>
      </c>
    </row>
    <row r="40" customFormat="false" ht="15.75" hidden="false" customHeight="true" outlineLevel="0" collapsed="false">
      <c r="A40" s="15" t="s">
        <v>21</v>
      </c>
      <c r="B40" s="29" t="n">
        <v>6168</v>
      </c>
      <c r="C40" s="16" t="n">
        <v>584522</v>
      </c>
      <c r="D40" s="16" t="n">
        <v>289040</v>
      </c>
      <c r="E40" s="17" t="n">
        <v>0.494489514509291</v>
      </c>
      <c r="F40" s="17" t="n">
        <v>0.0206861784192709</v>
      </c>
      <c r="G40" s="35" t="s">
        <v>37</v>
      </c>
    </row>
    <row r="41" customFormat="false" ht="15.75" hidden="false" customHeight="true" outlineLevel="0" collapsed="false">
      <c r="A41" s="19" t="s">
        <v>22</v>
      </c>
      <c r="B41" s="36" t="n">
        <v>3754</v>
      </c>
      <c r="C41" s="20" t="n">
        <v>383544</v>
      </c>
      <c r="D41" s="20" t="n">
        <v>285045</v>
      </c>
      <c r="E41" s="21" t="n">
        <v>0.743187222326513</v>
      </c>
      <c r="F41" s="21" t="n">
        <v>0.0135735859653543</v>
      </c>
      <c r="G41" s="37" t="s">
        <v>37</v>
      </c>
    </row>
    <row r="42" customFormat="false" ht="15.75" hidden="false" customHeight="true" outlineLevel="0" collapsed="false">
      <c r="A42" s="19" t="s">
        <v>22</v>
      </c>
      <c r="B42" s="36" t="n">
        <v>6135</v>
      </c>
      <c r="C42" s="20" t="n">
        <v>860857</v>
      </c>
      <c r="D42" s="20" t="n">
        <v>510725</v>
      </c>
      <c r="E42" s="21" t="n">
        <v>0.593275073560417</v>
      </c>
      <c r="F42" s="21" t="n">
        <v>0.0304656479918264</v>
      </c>
      <c r="G42" s="37" t="s">
        <v>37</v>
      </c>
    </row>
    <row r="43" customFormat="false" ht="15.75" hidden="false" customHeight="true" outlineLevel="0" collapsed="false">
      <c r="A43" s="19" t="s">
        <v>22</v>
      </c>
      <c r="B43" s="36" t="n">
        <v>6167</v>
      </c>
      <c r="C43" s="20" t="n">
        <v>0</v>
      </c>
      <c r="D43" s="20" t="n">
        <v>0</v>
      </c>
      <c r="E43" s="21" t="n">
        <v>0</v>
      </c>
      <c r="F43" s="21" t="n">
        <v>0</v>
      </c>
      <c r="G43" s="39" t="s">
        <v>38</v>
      </c>
    </row>
    <row r="44" customFormat="false" ht="15.75" hidden="false" customHeight="true" outlineLevel="0" collapsed="false">
      <c r="A44" s="19" t="s">
        <v>22</v>
      </c>
      <c r="B44" s="36" t="n">
        <v>6168</v>
      </c>
      <c r="C44" s="20" t="n">
        <v>560098</v>
      </c>
      <c r="D44" s="20" t="n">
        <v>398359.3</v>
      </c>
      <c r="E44" s="21" t="n">
        <v>0.711231427357355</v>
      </c>
      <c r="F44" s="21" t="n">
        <v>0.0198218153641382</v>
      </c>
      <c r="G44" s="37" t="s">
        <v>37</v>
      </c>
    </row>
    <row r="45" customFormat="false" ht="15.75" hidden="false" customHeight="true" outlineLevel="0" collapsed="false">
      <c r="A45" s="15" t="s">
        <v>23</v>
      </c>
      <c r="B45" s="29" t="n">
        <v>3754</v>
      </c>
      <c r="C45" s="16" t="n">
        <v>612713</v>
      </c>
      <c r="D45" s="16" t="n">
        <v>325540</v>
      </c>
      <c r="E45" s="17" t="n">
        <v>0.531309112096528</v>
      </c>
      <c r="F45" s="17" t="n">
        <v>0.0216838552489158</v>
      </c>
      <c r="G45" s="35" t="s">
        <v>37</v>
      </c>
    </row>
    <row r="46" customFormat="false" ht="15.75" hidden="false" customHeight="true" outlineLevel="0" collapsed="false">
      <c r="A46" s="15" t="s">
        <v>23</v>
      </c>
      <c r="B46" s="29" t="n">
        <v>6135</v>
      </c>
      <c r="C46" s="16" t="n">
        <v>747174</v>
      </c>
      <c r="D46" s="16" t="n">
        <v>270815</v>
      </c>
      <c r="E46" s="17" t="n">
        <v>0.362452387261869</v>
      </c>
      <c r="F46" s="17" t="n">
        <v>0.026442417349972</v>
      </c>
      <c r="G46" s="35" t="s">
        <v>37</v>
      </c>
    </row>
    <row r="47" customFormat="false" ht="15.75" hidden="false" customHeight="true" outlineLevel="0" collapsed="false">
      <c r="A47" s="15" t="s">
        <v>23</v>
      </c>
      <c r="B47" s="29" t="n">
        <v>6167</v>
      </c>
      <c r="C47" s="16" t="n">
        <v>0</v>
      </c>
      <c r="D47" s="16" t="n">
        <v>0</v>
      </c>
      <c r="E47" s="17" t="n">
        <v>0</v>
      </c>
      <c r="F47" s="17" t="n">
        <v>0</v>
      </c>
      <c r="G47" s="38" t="s">
        <v>38</v>
      </c>
    </row>
    <row r="48" customFormat="false" ht="15.75" hidden="false" customHeight="true" outlineLevel="0" collapsed="false">
      <c r="A48" s="15" t="s">
        <v>23</v>
      </c>
      <c r="B48" s="29" t="n">
        <v>6168</v>
      </c>
      <c r="C48" s="16" t="n">
        <v>548246</v>
      </c>
      <c r="D48" s="16" t="n">
        <v>318530</v>
      </c>
      <c r="E48" s="17" t="n">
        <v>0.580998310977189</v>
      </c>
      <c r="F48" s="17" t="n">
        <v>0.0194023742025991</v>
      </c>
      <c r="G48" s="35" t="s">
        <v>37</v>
      </c>
    </row>
    <row r="49" customFormat="false" ht="15.75" hidden="false" customHeight="true" outlineLevel="0" collapsed="false">
      <c r="A49" s="19" t="s">
        <v>24</v>
      </c>
      <c r="B49" s="36" t="n">
        <v>3754</v>
      </c>
      <c r="C49" s="20" t="n">
        <v>179913</v>
      </c>
      <c r="D49" s="20" t="n">
        <v>101730</v>
      </c>
      <c r="E49" s="21" t="n">
        <v>0.565439962648614</v>
      </c>
      <c r="F49" s="21" t="n">
        <v>0.00636710409179858</v>
      </c>
      <c r="G49" s="37" t="s">
        <v>37</v>
      </c>
    </row>
    <row r="50" customFormat="false" ht="15.75" hidden="false" customHeight="true" outlineLevel="0" collapsed="false">
      <c r="A50" s="19" t="s">
        <v>24</v>
      </c>
      <c r="B50" s="36" t="n">
        <v>6135</v>
      </c>
      <c r="C50" s="20" t="n">
        <v>163855</v>
      </c>
      <c r="D50" s="20" t="n">
        <v>146140</v>
      </c>
      <c r="E50" s="21" t="n">
        <v>0.891886118824571</v>
      </c>
      <c r="F50" s="21" t="n">
        <v>0.00579881298717523</v>
      </c>
      <c r="G50" s="37" t="s">
        <v>37</v>
      </c>
    </row>
    <row r="51" customFormat="false" ht="15.75" hidden="false" customHeight="true" outlineLevel="0" collapsed="false">
      <c r="A51" s="19" t="s">
        <v>24</v>
      </c>
      <c r="B51" s="36" t="n">
        <v>6167</v>
      </c>
      <c r="C51" s="20" t="n">
        <v>0</v>
      </c>
      <c r="D51" s="20" t="n">
        <v>0</v>
      </c>
      <c r="E51" s="21" t="n">
        <v>0</v>
      </c>
      <c r="F51" s="21" t="n">
        <v>0</v>
      </c>
      <c r="G51" s="39" t="s">
        <v>38</v>
      </c>
    </row>
    <row r="52" customFormat="false" ht="15.75" hidden="false" customHeight="true" outlineLevel="0" collapsed="false">
      <c r="A52" s="19" t="s">
        <v>24</v>
      </c>
      <c r="B52" s="36" t="n">
        <v>6168</v>
      </c>
      <c r="C52" s="20" t="n">
        <v>964476</v>
      </c>
      <c r="D52" s="20" t="n">
        <v>616044</v>
      </c>
      <c r="E52" s="21" t="n">
        <v>0.638734400856009</v>
      </c>
      <c r="F52" s="21" t="n">
        <v>0.0341327146234098</v>
      </c>
      <c r="G52" s="37" t="s">
        <v>37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5" min="4" style="0" width="12"/>
    <col collapsed="false" customWidth="true" hidden="false" outlineLevel="0" max="7" min="6" style="0" width="14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34" t="s">
        <v>39</v>
      </c>
      <c r="B2" s="34"/>
      <c r="C2" s="34"/>
      <c r="D2" s="34"/>
      <c r="E2" s="34"/>
      <c r="F2" s="34"/>
      <c r="G2" s="34"/>
    </row>
    <row r="3" customFormat="false" ht="7.5" hidden="false" customHeight="true" outlineLevel="0" collapsed="false"/>
    <row r="4" customFormat="false" ht="19.5" hidden="false" customHeight="true" outlineLevel="0" collapsed="false">
      <c r="A4" s="28" t="s">
        <v>8</v>
      </c>
      <c r="B4" s="28" t="s">
        <v>40</v>
      </c>
      <c r="C4" s="28" t="s">
        <v>41</v>
      </c>
      <c r="D4" s="28" t="s">
        <v>42</v>
      </c>
      <c r="E4" s="28" t="s">
        <v>43</v>
      </c>
      <c r="F4" s="28" t="s">
        <v>44</v>
      </c>
      <c r="G4" s="28" t="s">
        <v>45</v>
      </c>
    </row>
    <row r="5" customFormat="false" ht="18" hidden="false" customHeight="true" outlineLevel="0" collapsed="false">
      <c r="A5" s="15" t="s">
        <v>13</v>
      </c>
      <c r="B5" s="16" t="n">
        <v>2744282</v>
      </c>
      <c r="C5" s="40" t="n">
        <f aca="false">B5*0.085</f>
        <v>233263.97</v>
      </c>
      <c r="D5" s="40" t="n">
        <f aca="false">B5*0.1</f>
        <v>274428.2</v>
      </c>
      <c r="E5" s="16" t="n">
        <v>152557</v>
      </c>
      <c r="F5" s="41" t="n">
        <f aca="false">D5-E5</f>
        <v>121871.2</v>
      </c>
      <c r="G5" s="42" t="n">
        <v>1302317</v>
      </c>
    </row>
    <row r="6" customFormat="false" ht="18" hidden="false" customHeight="true" outlineLevel="0" collapsed="false">
      <c r="A6" s="19" t="s">
        <v>14</v>
      </c>
      <c r="B6" s="20" t="n">
        <v>2221231</v>
      </c>
      <c r="C6" s="43" t="n">
        <f aca="false">B6*0.085</f>
        <v>188804.635</v>
      </c>
      <c r="D6" s="43" t="n">
        <f aca="false">B6*0.1</f>
        <v>222123.1</v>
      </c>
      <c r="E6" s="20" t="n">
        <v>168536</v>
      </c>
      <c r="F6" s="44" t="n">
        <f aca="false">D6-E6</f>
        <v>53587.1</v>
      </c>
      <c r="G6" s="45" t="n">
        <v>1064676</v>
      </c>
    </row>
    <row r="7" customFormat="false" ht="18" hidden="false" customHeight="true" outlineLevel="0" collapsed="false">
      <c r="A7" s="15" t="s">
        <v>15</v>
      </c>
      <c r="B7" s="16" t="n">
        <v>3163200</v>
      </c>
      <c r="C7" s="40" t="n">
        <f aca="false">B7*0.085</f>
        <v>268872</v>
      </c>
      <c r="D7" s="40" t="n">
        <f aca="false">B7*0.1</f>
        <v>316320</v>
      </c>
      <c r="E7" s="16" t="n">
        <v>131570</v>
      </c>
      <c r="F7" s="41" t="n">
        <f aca="false">D7-E7</f>
        <v>184750</v>
      </c>
      <c r="G7" s="42" t="n">
        <v>1295830</v>
      </c>
    </row>
    <row r="8" customFormat="false" ht="18" hidden="false" customHeight="true" outlineLevel="0" collapsed="false">
      <c r="A8" s="19" t="s">
        <v>16</v>
      </c>
      <c r="B8" s="20" t="n">
        <v>3920677</v>
      </c>
      <c r="C8" s="43" t="n">
        <f aca="false">B8*0.085</f>
        <v>333257.545</v>
      </c>
      <c r="D8" s="43" t="n">
        <f aca="false">B8*0.1</f>
        <v>392067.7</v>
      </c>
      <c r="E8" s="20" t="n">
        <v>356367</v>
      </c>
      <c r="F8" s="44" t="n">
        <f aca="false">D8-E8</f>
        <v>35700.7</v>
      </c>
      <c r="G8" s="45" t="n">
        <v>1860747</v>
      </c>
    </row>
    <row r="9" customFormat="false" ht="18" hidden="false" customHeight="true" outlineLevel="0" collapsed="false">
      <c r="A9" s="15" t="s">
        <v>17</v>
      </c>
      <c r="B9" s="16" t="n">
        <v>2837020</v>
      </c>
      <c r="C9" s="40" t="n">
        <f aca="false">B9*0.085</f>
        <v>241146.7</v>
      </c>
      <c r="D9" s="40" t="n">
        <f aca="false">B9*0.1</f>
        <v>283702</v>
      </c>
      <c r="E9" s="16" t="n">
        <v>124200</v>
      </c>
      <c r="F9" s="41" t="n">
        <f aca="false">D9-E9</f>
        <v>159502</v>
      </c>
      <c r="G9" s="42" t="n">
        <v>1998280</v>
      </c>
    </row>
    <row r="10" customFormat="false" ht="18" hidden="false" customHeight="true" outlineLevel="0" collapsed="false">
      <c r="A10" s="19" t="s">
        <v>18</v>
      </c>
      <c r="B10" s="20" t="n">
        <v>2763987</v>
      </c>
      <c r="C10" s="43" t="n">
        <f aca="false">B10*0.085</f>
        <v>234938.895</v>
      </c>
      <c r="D10" s="43" t="n">
        <f aca="false">B10*0.1</f>
        <v>276398.7</v>
      </c>
      <c r="E10" s="20" t="n">
        <v>159967</v>
      </c>
      <c r="F10" s="44" t="n">
        <f aca="false">D10-E10</f>
        <v>116431.7</v>
      </c>
      <c r="G10" s="45" t="n">
        <v>1064527</v>
      </c>
    </row>
    <row r="11" customFormat="false" ht="18" hidden="false" customHeight="true" outlineLevel="0" collapsed="false">
      <c r="A11" s="15" t="s">
        <v>19</v>
      </c>
      <c r="B11" s="16" t="n">
        <v>2520069</v>
      </c>
      <c r="C11" s="40" t="n">
        <f aca="false">B11*0.085</f>
        <v>214205.865</v>
      </c>
      <c r="D11" s="40" t="n">
        <f aca="false">B11*0.1</f>
        <v>252006.9</v>
      </c>
      <c r="E11" s="16" t="n">
        <v>85943</v>
      </c>
      <c r="F11" s="41" t="n">
        <f aca="false">D11-E11</f>
        <v>166063.9</v>
      </c>
      <c r="G11" s="42" t="n">
        <v>1281963</v>
      </c>
    </row>
    <row r="12" customFormat="false" ht="18" hidden="false" customHeight="true" outlineLevel="0" collapsed="false">
      <c r="A12" s="19" t="s">
        <v>20</v>
      </c>
      <c r="B12" s="20" t="n">
        <v>1279428</v>
      </c>
      <c r="C12" s="43" t="n">
        <f aca="false">B12*0.085</f>
        <v>108751.38</v>
      </c>
      <c r="D12" s="43" t="n">
        <f aca="false">B12*0.1</f>
        <v>127942.8</v>
      </c>
      <c r="E12" s="20" t="n">
        <v>52152</v>
      </c>
      <c r="F12" s="44" t="n">
        <f aca="false">D12-E12</f>
        <v>75790.8</v>
      </c>
      <c r="G12" s="45" t="n">
        <v>384778</v>
      </c>
    </row>
    <row r="13" customFormat="false" ht="18" hidden="false" customHeight="true" outlineLevel="0" collapsed="false">
      <c r="A13" s="15" t="s">
        <v>21</v>
      </c>
      <c r="B13" s="16" t="n">
        <v>1785875</v>
      </c>
      <c r="C13" s="40" t="n">
        <f aca="false">B13*0.085</f>
        <v>151799.375</v>
      </c>
      <c r="D13" s="40" t="n">
        <f aca="false">B13*0.1</f>
        <v>178587.5</v>
      </c>
      <c r="E13" s="16" t="n">
        <v>109313</v>
      </c>
      <c r="F13" s="41" t="n">
        <f aca="false">D13-E13</f>
        <v>69274.5</v>
      </c>
      <c r="G13" s="42" t="n">
        <v>762075</v>
      </c>
    </row>
    <row r="14" customFormat="false" ht="18" hidden="false" customHeight="true" outlineLevel="0" collapsed="false">
      <c r="A14" s="19" t="s">
        <v>22</v>
      </c>
      <c r="B14" s="20" t="n">
        <v>1804499</v>
      </c>
      <c r="C14" s="43" t="n">
        <f aca="false">B14*0.085</f>
        <v>153382.415</v>
      </c>
      <c r="D14" s="43" t="n">
        <f aca="false">B14*0.1</f>
        <v>180449.9</v>
      </c>
      <c r="E14" s="20" t="n">
        <v>91471</v>
      </c>
      <c r="F14" s="44" t="n">
        <f aca="false">D14-E14</f>
        <v>88978.9</v>
      </c>
      <c r="G14" s="45" t="n">
        <v>610369.7</v>
      </c>
    </row>
    <row r="15" customFormat="false" ht="18" hidden="false" customHeight="true" outlineLevel="0" collapsed="false">
      <c r="A15" s="15" t="s">
        <v>23</v>
      </c>
      <c r="B15" s="16" t="n">
        <v>1908133</v>
      </c>
      <c r="C15" s="40" t="n">
        <f aca="false">B15*0.085</f>
        <v>162191.305</v>
      </c>
      <c r="D15" s="40" t="n">
        <f aca="false">B15*0.1</f>
        <v>190813.3</v>
      </c>
      <c r="E15" s="16" t="n">
        <v>125852</v>
      </c>
      <c r="F15" s="41" t="n">
        <f aca="false">D15-E15</f>
        <v>64961.3</v>
      </c>
      <c r="G15" s="42" t="n">
        <v>993248</v>
      </c>
    </row>
    <row r="16" customFormat="false" ht="18" hidden="false" customHeight="true" outlineLevel="0" collapsed="false">
      <c r="A16" s="19" t="s">
        <v>24</v>
      </c>
      <c r="B16" s="20" t="n">
        <v>1308244</v>
      </c>
      <c r="C16" s="43" t="n">
        <f aca="false">B16*0.085</f>
        <v>111200.74</v>
      </c>
      <c r="D16" s="43" t="n">
        <f aca="false">B16*0.1</f>
        <v>130824.4</v>
      </c>
      <c r="E16" s="20" t="n">
        <v>60998</v>
      </c>
      <c r="F16" s="44" t="n">
        <f aca="false">D16-E16</f>
        <v>69826.4</v>
      </c>
      <c r="G16" s="45" t="n">
        <v>444330</v>
      </c>
    </row>
    <row r="17" customFormat="false" ht="19.5" hidden="false" customHeight="true" outlineLevel="0" collapsed="false">
      <c r="A17" s="23" t="s">
        <v>46</v>
      </c>
      <c r="B17" s="24" t="n">
        <f aca="false">SUM(B5:B16)</f>
        <v>28256645</v>
      </c>
      <c r="C17" s="24" t="n">
        <f aca="false">SUM(C5:C16)</f>
        <v>2401814.825</v>
      </c>
      <c r="D17" s="24" t="n">
        <f aca="false">SUM(D5:D16)</f>
        <v>2825664.5</v>
      </c>
      <c r="E17" s="24" t="n">
        <f aca="false">SUM(E5:E16)</f>
        <v>1618926</v>
      </c>
      <c r="F17" s="24" t="n">
        <f aca="false">SUM(F5:F16)</f>
        <v>1206738.5</v>
      </c>
      <c r="G17" s="24" t="n">
        <f aca="false">SUM(G5:G16)</f>
        <v>13063140.7</v>
      </c>
    </row>
  </sheetData>
  <mergeCells count="1"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2026-05-26T10:41:12Z</dcterms:created>
  <dc:creator>openpyxl</dc:creator>
  <dc:description/>
  <dc:language>en-US</dc:language>
  <cp:lastModifiedBy/>
  <dcterms:modified xsi:type="dcterms:W3CDTF">2026-05-26T10:41:24Z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